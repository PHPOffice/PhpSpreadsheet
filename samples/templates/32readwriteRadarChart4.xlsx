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hahi\Desktop\"/>
    </mc:Choice>
  </mc:AlternateContent>
  <xr:revisionPtr revIDLastSave="0" documentId="8_{59394BA2-21D9-4795-90ED-321D5D5597A3}" xr6:coauthVersionLast="34" xr6:coauthVersionMax="34" xr10:uidLastSave="{00000000-0000-0000-0000-000000000000}"/>
  <bookViews>
    <workbookView xWindow="0" yWindow="0" windowWidth="20730" windowHeight="11760" activeTab="1" xr2:uid="{00000000-000D-0000-FFFF-FFFF00000000}"/>
  </bookViews>
  <sheets>
    <sheet name="Data" sheetId="1" r:id="rId1"/>
    <sheet name="Charts" sheetId="2" r:id="rId2"/>
  </sheets>
  <calcPr calcId="179021"/>
</workbook>
</file>

<file path=xl/calcChain.xml><?xml version="1.0" encoding="utf-8"?>
<calcChain xmlns="http://schemas.openxmlformats.org/spreadsheetml/2006/main">
  <c r="M24" i="1" l="1"/>
  <c r="L24" i="1"/>
  <c r="K24" i="1"/>
  <c r="J24" i="1"/>
  <c r="I24" i="1"/>
  <c r="H24" i="1"/>
  <c r="G24" i="1"/>
  <c r="F24" i="1"/>
  <c r="E24" i="1"/>
  <c r="D24" i="1"/>
  <c r="C24" i="1"/>
  <c r="B24" i="1"/>
  <c r="B20" i="1"/>
  <c r="B21" i="1" s="1"/>
  <c r="B22" i="1" l="1"/>
  <c r="B23" i="1" s="1"/>
  <c r="C20" i="1" s="1"/>
  <c r="C21" i="1" s="1"/>
  <c r="M13" i="1"/>
  <c r="M12" i="1" s="1"/>
  <c r="L13" i="1"/>
  <c r="L12" i="1" s="1"/>
  <c r="K13" i="1"/>
  <c r="K12" i="1" s="1"/>
  <c r="J13" i="1"/>
  <c r="J12" i="1" s="1"/>
  <c r="I13" i="1"/>
  <c r="I12" i="1" s="1"/>
  <c r="H13" i="1"/>
  <c r="H12" i="1" s="1"/>
  <c r="G13" i="1"/>
  <c r="G12" i="1" s="1"/>
  <c r="F13" i="1"/>
  <c r="F12" i="1" s="1"/>
  <c r="E13" i="1"/>
  <c r="E12" i="1" s="1"/>
  <c r="D13" i="1"/>
  <c r="D12" i="1" s="1"/>
  <c r="C13" i="1"/>
  <c r="C12" i="1" s="1"/>
  <c r="B13" i="1"/>
  <c r="B12" i="1" s="1"/>
  <c r="C22" i="1" l="1"/>
  <c r="C23" i="1" s="1"/>
  <c r="D20" i="1" s="1"/>
  <c r="C14" i="1"/>
  <c r="G14" i="1"/>
  <c r="K14" i="1"/>
  <c r="E14" i="1"/>
  <c r="I14" i="1"/>
  <c r="M14" i="1"/>
  <c r="D14" i="1"/>
  <c r="F14" i="1"/>
  <c r="H14" i="1"/>
  <c r="J14" i="1"/>
  <c r="L14" i="1"/>
  <c r="B14" i="1"/>
  <c r="D21" i="1" l="1"/>
  <c r="D22" i="1"/>
  <c r="D23" i="1" l="1"/>
  <c r="E20" i="1" s="1"/>
  <c r="E21" i="1" l="1"/>
  <c r="E22" i="1"/>
  <c r="E23" i="1" l="1"/>
  <c r="F20" i="1" s="1"/>
  <c r="F21" i="1" s="1"/>
  <c r="F22" i="1" l="1"/>
  <c r="F23" i="1" s="1"/>
  <c r="G20" i="1" s="1"/>
  <c r="G21" i="1" l="1"/>
  <c r="G22" i="1"/>
  <c r="G23" i="1" l="1"/>
  <c r="H20" i="1" s="1"/>
  <c r="H21" i="1" l="1"/>
  <c r="H22" i="1"/>
  <c r="H23" i="1" l="1"/>
  <c r="I20" i="1" s="1"/>
  <c r="I21" i="1" s="1"/>
  <c r="I22" i="1" l="1"/>
  <c r="I23" i="1" s="1"/>
  <c r="J20" i="1" s="1"/>
  <c r="J21" i="1" s="1"/>
  <c r="J22" i="1" l="1"/>
  <c r="J23" i="1" s="1"/>
  <c r="K20" i="1" s="1"/>
  <c r="K21" i="1" l="1"/>
  <c r="K22" i="1"/>
  <c r="K23" i="1" l="1"/>
  <c r="L20" i="1" s="1"/>
  <c r="L21" i="1" s="1"/>
  <c r="L22" i="1" l="1"/>
  <c r="L23" i="1" s="1"/>
  <c r="M20" i="1" s="1"/>
  <c r="M21" i="1" s="1"/>
  <c r="M22" i="1" l="1"/>
  <c r="M23" i="1" s="1"/>
</calcChain>
</file>

<file path=xl/sharedStrings.xml><?xml version="1.0" encoding="utf-8"?>
<sst xmlns="http://schemas.openxmlformats.org/spreadsheetml/2006/main" count="76" uniqueCount="39">
  <si>
    <t>Projected</t>
  </si>
  <si>
    <t>Actual</t>
  </si>
  <si>
    <t>Budget</t>
  </si>
  <si>
    <t>Qtr 1</t>
  </si>
  <si>
    <t>Qtr 2</t>
  </si>
  <si>
    <t>Qtr 3</t>
  </si>
  <si>
    <t>Qtr 4</t>
  </si>
  <si>
    <t>Financial Period</t>
  </si>
  <si>
    <t>High</t>
  </si>
  <si>
    <t>Average</t>
  </si>
  <si>
    <t>Low</t>
  </si>
  <si>
    <t>Opening</t>
  </si>
  <si>
    <t>Closing</t>
  </si>
  <si>
    <t>Volume</t>
  </si>
  <si>
    <t>September</t>
  </si>
  <si>
    <t>AUDIT REPORT</t>
  </si>
  <si>
    <t xml:space="preserve"> </t>
  </si>
  <si>
    <t>Center Code :</t>
  </si>
  <si>
    <t>Type :</t>
  </si>
  <si>
    <t>Exported on:</t>
  </si>
  <si>
    <t>Evaluation Result for</t>
  </si>
  <si>
    <t>Month</t>
  </si>
  <si>
    <t>Year</t>
  </si>
  <si>
    <t>Evaluator</t>
  </si>
  <si>
    <t>Quarter 2</t>
  </si>
  <si>
    <t>Overall Score</t>
  </si>
  <si>
    <t>Unfit</t>
  </si>
  <si>
    <t>Service</t>
  </si>
  <si>
    <t>BP Sales</t>
  </si>
  <si>
    <t>Chart Data</t>
  </si>
  <si>
    <t>Sales</t>
  </si>
  <si>
    <t>Kodawari</t>
  </si>
  <si>
    <t>BP</t>
  </si>
  <si>
    <t>Parts</t>
  </si>
  <si>
    <t>CAL</t>
  </si>
  <si>
    <t>John</t>
  </si>
  <si>
    <t>IniTech</t>
  </si>
  <si>
    <t>SRS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</si>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</sst>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24"/>
      <color theme="8" tint="-0.499984740745262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theme="8" tint="-0.499984740745262"/>
      </top>
      <bottom/>
      <diagonal/>
    </border>
    <border>
      <left/>
      <right/>
      <top/>
      <bottom style="medium">
        <color theme="8" tint="-0.499984740745262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0"/>
      </right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3" borderId="0" xfId="0" applyFill="1" applyBorder="1"/>
    <xf numFmtId="16" fontId="0" fillId="3" borderId="0" xfId="0" applyNumberFormat="1" applyFill="1" applyBorder="1"/>
    <xf numFmtId="0" fontId="4" fillId="3" borderId="0" xfId="0" applyFont="1" applyFill="1" applyBorder="1" applyAlignment="1">
      <alignment horizontal="right"/>
    </xf>
    <xf numFmtId="0" fontId="7" fillId="3" borderId="0" xfId="0" applyFont="1" applyFill="1" applyBorder="1" applyAlignment="1">
      <alignment horizontal="right"/>
    </xf>
    <xf numFmtId="0" fontId="8" fillId="3" borderId="0" xfId="0" applyFont="1" applyFill="1" applyBorder="1" applyAlignment="1">
      <alignment horizontal="left"/>
    </xf>
    <xf numFmtId="0" fontId="8" fillId="3" borderId="0" xfId="0" applyFont="1" applyFill="1" applyBorder="1"/>
    <xf numFmtId="0" fontId="6" fillId="3" borderId="0" xfId="0" applyFont="1" applyFill="1" applyBorder="1"/>
    <xf numFmtId="164" fontId="8" fillId="3" borderId="0" xfId="0" applyNumberFormat="1" applyFont="1" applyFill="1" applyBorder="1"/>
    <xf numFmtId="0" fontId="0" fillId="3" borderId="2" xfId="0" applyFill="1" applyBorder="1"/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/>
    <xf numFmtId="9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Fill="1"/>
    <xf numFmtId="0" fontId="6" fillId="0" borderId="0" xfId="0" applyFont="1"/>
    <xf numFmtId="0" fontId="6" fillId="0" borderId="7" xfId="0" applyFont="1" applyBorder="1"/>
    <xf numFmtId="0" fontId="12" fillId="0" borderId="0" xfId="0" applyFont="1"/>
    <xf numFmtId="9" fontId="12" fillId="0" borderId="0" xfId="0" applyNumberFormat="1" applyFont="1"/>
    <xf numFmtId="9" fontId="6" fillId="5" borderId="8" xfId="0" applyNumberFormat="1" applyFont="1" applyFill="1" applyBorder="1"/>
    <xf numFmtId="0" fontId="7" fillId="5" borderId="0" xfId="0" applyFont="1" applyFill="1" applyBorder="1"/>
    <xf numFmtId="0" fontId="7" fillId="5" borderId="0" xfId="0" applyFont="1" applyFill="1" applyBorder="1" applyAlignment="1"/>
    <xf numFmtId="0" fontId="8" fillId="5" borderId="0" xfId="0" applyFont="1" applyFill="1" applyBorder="1" applyAlignment="1">
      <alignment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9" fontId="10" fillId="2" borderId="4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9" fontId="13" fillId="4" borderId="4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1" fillId="0" borderId="7" xfId="0" applyFont="1" applyBorder="1"/>
    <xf numFmtId="0" fontId="6" fillId="5" borderId="0" xfId="0" applyFont="1" applyFill="1" applyBorder="1"/>
    <xf numFmtId="0" fontId="6" fillId="5" borderId="9" xfId="0" applyFont="1" applyFill="1" applyBorder="1"/>
    <xf numFmtId="0" fontId="5" fillId="3" borderId="0" xfId="0" applyFont="1" applyFill="1" applyBorder="1" applyAlignment="1">
      <alignment horizontal="left"/>
    </xf>
    <xf numFmtId="0" fontId="3" fillId="3" borderId="0" xfId="0" applyFont="1" applyFill="1" applyBorder="1"/>
    <xf numFmtId="0" fontId="7" fillId="5" borderId="0" xfId="0" applyFont="1" applyFill="1" applyBorder="1" applyAlignment="1"/>
    <xf numFmtId="0" fontId="8" fillId="5" borderId="0" xfId="0" applyFont="1" applyFill="1" applyBorder="1" applyAlignment="1">
      <alignment vertical="top"/>
    </xf>
    <xf numFmtId="0" fontId="8" fillId="5" borderId="0" xfId="0" applyFont="1" applyFill="1" applyBorder="1" applyAlignment="1">
      <alignment horizontal="left" vertical="top"/>
    </xf>
    <xf numFmtId="0" fontId="7" fillId="5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8B8B"/>
      <color rgb="FFF4F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9-4F2B-AC1B-707EE270DD38}"/>
            </c:ext>
          </c:extLst>
        </c:ser>
        <c:ser>
          <c:idx val="1"/>
          <c:order val="1"/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9-4F2B-AC1B-707EE270DD38}"/>
            </c:ext>
          </c:extLst>
        </c:ser>
        <c:ser>
          <c:idx val="2"/>
          <c:order val="2"/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9-4F2B-AC1B-707EE270D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67776"/>
        <c:axId val="79069568"/>
      </c:barChart>
      <c:catAx>
        <c:axId val="79067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9069568"/>
        <c:crosses val="autoZero"/>
        <c:auto val="1"/>
        <c:lblAlgn val="ctr"/>
        <c:lblOffset val="100"/>
        <c:noMultiLvlLbl val="0"/>
      </c:catAx>
      <c:valAx>
        <c:axId val="79069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9067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575138011930245E-2"/>
          <c:y val="2.8176598481786504E-2"/>
          <c:w val="0.92706731773628792"/>
          <c:h val="0.95613591100782447"/>
        </c:manualLayout>
      </c:layout>
      <c:radarChart>
        <c:radarStyle val="marker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vertOverflow="overflow" horzOverflow="overflow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Charts!$G$17:$G$22</c:f>
              <c:strCache>
                <c:ptCount val="6"/>
                <c:pt idx="0">
                  <c:v>Sales</c:v>
                </c:pt>
                <c:pt idx="1">
                  <c:v>Service</c:v>
                </c:pt>
                <c:pt idx="2">
                  <c:v>Kodawari</c:v>
                </c:pt>
                <c:pt idx="3">
                  <c:v>BP</c:v>
                </c:pt>
                <c:pt idx="4">
                  <c:v>Parts</c:v>
                </c:pt>
                <c:pt idx="5">
                  <c:v>CAL</c:v>
                </c:pt>
              </c:strCache>
            </c:strRef>
          </c:cat>
          <c:val>
            <c:numRef>
              <c:f>Charts!$H$17:$H$22</c:f>
              <c:numCache>
                <c:formatCode>0%</c:formatCode>
                <c:ptCount val="6"/>
                <c:pt idx="0">
                  <c:v>0.25</c:v>
                </c:pt>
                <c:pt idx="1">
                  <c:v>0.32</c:v>
                </c:pt>
                <c:pt idx="2">
                  <c:v>0.56000000000000005</c:v>
                </c:pt>
                <c:pt idx="3">
                  <c:v>0.91</c:v>
                </c:pt>
                <c:pt idx="4">
                  <c:v>0</c:v>
                </c:pt>
                <c:pt idx="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4-4F1A-AA97-6CE073E70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54656"/>
        <c:axId val="134056192"/>
      </c:radarChart>
      <c:catAx>
        <c:axId val="134054656"/>
        <c:scaling>
          <c:orientation val="minMax"/>
        </c:scaling>
        <c:delete val="1"/>
        <c:axPos val="b"/>
        <c:majorGridlines/>
        <c:numFmt formatCode="General" sourceLinked="1"/>
        <c:majorTickMark val="out"/>
        <c:minorTickMark val="none"/>
        <c:tickLblPos val="nextTo"/>
        <c:crossAx val="134056192"/>
        <c:crosses val="autoZero"/>
        <c:auto val="1"/>
        <c:lblAlgn val="ctr"/>
        <c:lblOffset val="100"/>
        <c:noMultiLvlLbl val="0"/>
      </c:catAx>
      <c:valAx>
        <c:axId val="1340561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one"/>
        <c:spPr>
          <a:noFill/>
          <a:ln>
            <a:solidFill>
              <a:schemeClr val="bg1">
                <a:lumMod val="85000"/>
              </a:schemeClr>
            </a:solidFill>
          </a:ln>
        </c:spPr>
        <c:crossAx val="134054656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spPr>
    <a:solidFill>
      <a:schemeClr val="bg1"/>
    </a:solidFill>
    <a:ln>
      <a:noFill/>
    </a:ln>
  </c:spPr>
  <c:printSettings>
    <c:headerFooter/>
    <c:pageMargins b="0.75" l="0.25" r="0.25" t="0.75" header="0.3" footer="0.3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142875</xdr:colOff>
      <xdr:row>1</xdr:row>
      <xdr:rowOff>9525</xdr:rowOff>
    </xdr:from>
    <xdr:to>
      <xdr:col>21</xdr:col>
      <xdr:colOff>0</xdr:colOff>
      <xdr:row>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17</xdr:row>
      <xdr:rowOff>0</xdr:rowOff>
    </xdr:from>
    <xdr:to>
      <xdr:col>19</xdr:col>
      <xdr:colOff>276225</xdr:colOff>
      <xdr:row>21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3238500"/>
          <a:ext cx="3324225" cy="7620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16</xdr:col>
      <xdr:colOff>558800</xdr:colOff>
      <xdr:row>32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4191000"/>
          <a:ext cx="1778000" cy="191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9</xdr:col>
      <xdr:colOff>1</xdr:colOff>
      <xdr:row>34</xdr:row>
      <xdr:rowOff>5129</xdr:rowOff>
    </xdr:to>
    <xdr:graphicFrame macro="">
      <xdr:nvGraphicFramePr>
        <xdr:cNvPr id="44" name="Chart 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/>
  </sheetViews>
  <sheetFormatPr defaultRowHeight="15" x14ac:dyDescent="0.25"/>
  <cols>
    <col min="1" max="1" width="9.5703125" bestFit="1" customWidth="1"/>
    <col min="14" max="14" width="5" customWidth="1"/>
  </cols>
  <sheetData>
    <row r="1" spans="1:13" x14ac:dyDescent="0.25">
      <c r="B1" s="24" t="s">
        <v>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1"/>
      <c r="B2" s="25">
        <v>2008</v>
      </c>
      <c r="C2" s="25"/>
      <c r="D2" s="25"/>
      <c r="E2" s="25"/>
      <c r="F2" s="25">
        <v>2009</v>
      </c>
      <c r="G2" s="25"/>
      <c r="H2" s="25"/>
      <c r="I2" s="25"/>
      <c r="J2" s="25">
        <v>2010</v>
      </c>
      <c r="K2" s="25"/>
      <c r="L2" s="25"/>
      <c r="M2" s="25"/>
    </row>
    <row r="3" spans="1:13" x14ac:dyDescent="0.25">
      <c r="A3" s="1"/>
      <c r="B3" s="1" t="s">
        <v>3</v>
      </c>
      <c r="C3" s="1" t="s">
        <v>4</v>
      </c>
      <c r="D3" s="1" t="s">
        <v>5</v>
      </c>
      <c r="E3" s="1" t="s">
        <v>6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3</v>
      </c>
      <c r="K3" s="1" t="s">
        <v>4</v>
      </c>
      <c r="L3" s="1" t="s">
        <v>5</v>
      </c>
      <c r="M3" s="1" t="s">
        <v>6</v>
      </c>
    </row>
    <row r="4" spans="1:13" x14ac:dyDescent="0.25">
      <c r="A4" s="1" t="s">
        <v>2</v>
      </c>
      <c r="B4">
        <v>75</v>
      </c>
      <c r="C4">
        <v>85</v>
      </c>
      <c r="D4">
        <v>95</v>
      </c>
      <c r="E4">
        <v>90</v>
      </c>
      <c r="F4">
        <v>85</v>
      </c>
      <c r="G4">
        <v>95</v>
      </c>
      <c r="H4">
        <v>105</v>
      </c>
      <c r="I4">
        <v>100</v>
      </c>
      <c r="J4">
        <v>95</v>
      </c>
      <c r="K4">
        <v>105</v>
      </c>
      <c r="L4">
        <v>115</v>
      </c>
      <c r="M4">
        <v>110</v>
      </c>
    </row>
    <row r="5" spans="1:13" x14ac:dyDescent="0.25">
      <c r="A5" s="1" t="s">
        <v>0</v>
      </c>
      <c r="B5">
        <v>80</v>
      </c>
      <c r="C5">
        <v>90</v>
      </c>
      <c r="D5">
        <v>100</v>
      </c>
      <c r="E5">
        <v>95</v>
      </c>
      <c r="F5">
        <v>90</v>
      </c>
      <c r="G5">
        <v>100</v>
      </c>
      <c r="H5">
        <v>110</v>
      </c>
      <c r="I5">
        <v>95</v>
      </c>
      <c r="J5">
        <v>100</v>
      </c>
      <c r="K5">
        <v>110</v>
      </c>
      <c r="L5">
        <v>120</v>
      </c>
      <c r="M5">
        <v>115</v>
      </c>
    </row>
    <row r="6" spans="1:13" x14ac:dyDescent="0.25">
      <c r="A6" s="1" t="s">
        <v>1</v>
      </c>
      <c r="B6">
        <v>90</v>
      </c>
      <c r="C6">
        <v>100</v>
      </c>
      <c r="D6">
        <v>110</v>
      </c>
      <c r="E6">
        <v>110</v>
      </c>
      <c r="F6">
        <v>100</v>
      </c>
      <c r="G6">
        <v>110</v>
      </c>
      <c r="H6">
        <v>120</v>
      </c>
      <c r="I6">
        <v>125</v>
      </c>
      <c r="J6">
        <v>120</v>
      </c>
      <c r="K6">
        <v>130</v>
      </c>
      <c r="L6">
        <v>140</v>
      </c>
      <c r="M6">
        <v>145</v>
      </c>
    </row>
    <row r="9" spans="1:13" x14ac:dyDescent="0.25">
      <c r="B9" s="24" t="s">
        <v>7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x14ac:dyDescent="0.25">
      <c r="B10" s="25">
        <v>2008</v>
      </c>
      <c r="C10" s="25"/>
      <c r="D10" s="25"/>
      <c r="E10" s="25"/>
      <c r="F10" s="25">
        <v>2009</v>
      </c>
      <c r="G10" s="25"/>
      <c r="H10" s="25"/>
      <c r="I10" s="25"/>
      <c r="J10" s="25">
        <v>2010</v>
      </c>
      <c r="K10" s="25"/>
      <c r="L10" s="25"/>
      <c r="M10" s="25"/>
    </row>
    <row r="11" spans="1:13" x14ac:dyDescent="0.25">
      <c r="B11" s="1" t="s">
        <v>3</v>
      </c>
      <c r="C11" s="1" t="s">
        <v>4</v>
      </c>
      <c r="D11" s="1" t="s">
        <v>5</v>
      </c>
      <c r="E11" s="1" t="s">
        <v>6</v>
      </c>
      <c r="F11" s="1" t="s">
        <v>3</v>
      </c>
      <c r="G11" s="1" t="s">
        <v>4</v>
      </c>
      <c r="H11" s="1" t="s">
        <v>5</v>
      </c>
      <c r="I11" s="1" t="s">
        <v>6</v>
      </c>
      <c r="J11" s="1" t="s">
        <v>3</v>
      </c>
      <c r="K11" s="1" t="s">
        <v>4</v>
      </c>
      <c r="L11" s="1" t="s">
        <v>5</v>
      </c>
      <c r="M11" s="1" t="s">
        <v>6</v>
      </c>
    </row>
    <row r="12" spans="1:13" x14ac:dyDescent="0.25">
      <c r="A12" t="s">
        <v>8</v>
      </c>
      <c r="B12">
        <f ca="1">B13+RANDBETWEEN(20,50)</f>
        <v>93</v>
      </c>
      <c r="C12">
        <f t="shared" ref="C12:M12" ca="1" si="0">C13+RANDBETWEEN(20,50)</f>
        <v>124</v>
      </c>
      <c r="D12">
        <f t="shared" ca="1" si="0"/>
        <v>114</v>
      </c>
      <c r="E12">
        <f t="shared" ca="1" si="0"/>
        <v>104</v>
      </c>
      <c r="F12">
        <f t="shared" ca="1" si="0"/>
        <v>109</v>
      </c>
      <c r="G12">
        <f t="shared" ca="1" si="0"/>
        <v>84</v>
      </c>
      <c r="H12">
        <f t="shared" ca="1" si="0"/>
        <v>106</v>
      </c>
      <c r="I12">
        <f t="shared" ca="1" si="0"/>
        <v>132</v>
      </c>
      <c r="J12">
        <f t="shared" ca="1" si="0"/>
        <v>78</v>
      </c>
      <c r="K12">
        <f t="shared" ca="1" si="0"/>
        <v>72</v>
      </c>
      <c r="L12">
        <f t="shared" ca="1" si="0"/>
        <v>133</v>
      </c>
      <c r="M12">
        <f t="shared" ca="1" si="0"/>
        <v>89</v>
      </c>
    </row>
    <row r="13" spans="1:13" x14ac:dyDescent="0.25">
      <c r="A13" t="s">
        <v>9</v>
      </c>
      <c r="B13">
        <f ca="1">RANDBETWEEN(50,100)</f>
        <v>54</v>
      </c>
      <c r="C13">
        <f t="shared" ref="C13:M13" ca="1" si="1">RANDBETWEEN(50,100)</f>
        <v>76</v>
      </c>
      <c r="D13">
        <f t="shared" ca="1" si="1"/>
        <v>68</v>
      </c>
      <c r="E13">
        <f t="shared" ca="1" si="1"/>
        <v>61</v>
      </c>
      <c r="F13">
        <f t="shared" ca="1" si="1"/>
        <v>63</v>
      </c>
      <c r="G13">
        <f t="shared" ca="1" si="1"/>
        <v>63</v>
      </c>
      <c r="H13">
        <f t="shared" ca="1" si="1"/>
        <v>83</v>
      </c>
      <c r="I13">
        <f t="shared" ca="1" si="1"/>
        <v>87</v>
      </c>
      <c r="J13">
        <f t="shared" ca="1" si="1"/>
        <v>57</v>
      </c>
      <c r="K13">
        <f t="shared" ca="1" si="1"/>
        <v>52</v>
      </c>
      <c r="L13">
        <f t="shared" ca="1" si="1"/>
        <v>99</v>
      </c>
      <c r="M13">
        <f t="shared" ca="1" si="1"/>
        <v>55</v>
      </c>
    </row>
    <row r="14" spans="1:13" x14ac:dyDescent="0.25">
      <c r="A14" t="s">
        <v>10</v>
      </c>
      <c r="B14">
        <f ca="1">B13-RANDBETWEEN(20,50)</f>
        <v>26</v>
      </c>
      <c r="C14">
        <f t="shared" ref="C14:M14" ca="1" si="2">C13-RANDBETWEEN(20,50)</f>
        <v>31</v>
      </c>
      <c r="D14">
        <f t="shared" ca="1" si="2"/>
        <v>45</v>
      </c>
      <c r="E14">
        <f t="shared" ca="1" si="2"/>
        <v>12</v>
      </c>
      <c r="F14">
        <f t="shared" ca="1" si="2"/>
        <v>25</v>
      </c>
      <c r="G14">
        <f t="shared" ca="1" si="2"/>
        <v>38</v>
      </c>
      <c r="H14">
        <f t="shared" ca="1" si="2"/>
        <v>60</v>
      </c>
      <c r="I14">
        <f t="shared" ca="1" si="2"/>
        <v>41</v>
      </c>
      <c r="J14">
        <f t="shared" ca="1" si="2"/>
        <v>9</v>
      </c>
      <c r="K14">
        <f t="shared" ca="1" si="2"/>
        <v>2</v>
      </c>
      <c r="L14">
        <f t="shared" ca="1" si="2"/>
        <v>68</v>
      </c>
      <c r="M14">
        <f t="shared" ca="1" si="2"/>
        <v>16</v>
      </c>
    </row>
    <row r="17" spans="1:13" x14ac:dyDescent="0.25">
      <c r="B17" s="24" t="s">
        <v>7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x14ac:dyDescent="0.25">
      <c r="B18" s="25">
        <v>2008</v>
      </c>
      <c r="C18" s="25"/>
      <c r="D18" s="25"/>
      <c r="E18" s="25"/>
      <c r="F18" s="25">
        <v>2009</v>
      </c>
      <c r="G18" s="25"/>
      <c r="H18" s="25"/>
      <c r="I18" s="25"/>
      <c r="J18" s="25">
        <v>2010</v>
      </c>
      <c r="K18" s="25"/>
      <c r="L18" s="25"/>
      <c r="M18" s="25"/>
    </row>
    <row r="19" spans="1:13" x14ac:dyDescent="0.25">
      <c r="B19" s="1" t="s">
        <v>3</v>
      </c>
      <c r="C19" s="1" t="s">
        <v>4</v>
      </c>
      <c r="D19" s="1" t="s">
        <v>5</v>
      </c>
      <c r="E19" s="1" t="s">
        <v>6</v>
      </c>
      <c r="F19" s="1" t="s">
        <v>3</v>
      </c>
      <c r="G19" s="1" t="s">
        <v>4</v>
      </c>
      <c r="H19" s="1" t="s">
        <v>5</v>
      </c>
      <c r="I19" s="1" t="s">
        <v>6</v>
      </c>
      <c r="J19" s="1" t="s">
        <v>3</v>
      </c>
      <c r="K19" s="1" t="s">
        <v>4</v>
      </c>
      <c r="L19" s="1" t="s">
        <v>5</v>
      </c>
      <c r="M19" s="1" t="s">
        <v>6</v>
      </c>
    </row>
    <row r="20" spans="1:13" x14ac:dyDescent="0.25">
      <c r="A20" t="s">
        <v>11</v>
      </c>
      <c r="B20">
        <f ca="1">RANDBETWEEN(120,150)</f>
        <v>135</v>
      </c>
      <c r="C20">
        <f ca="1">B23</f>
        <v>162</v>
      </c>
      <c r="D20">
        <f t="shared" ref="D20:M20" ca="1" si="3">C23</f>
        <v>145</v>
      </c>
      <c r="E20">
        <f t="shared" ca="1" si="3"/>
        <v>156</v>
      </c>
      <c r="F20">
        <f t="shared" ca="1" si="3"/>
        <v>200</v>
      </c>
      <c r="G20">
        <f t="shared" ca="1" si="3"/>
        <v>292</v>
      </c>
      <c r="H20">
        <f t="shared" ca="1" si="3"/>
        <v>318</v>
      </c>
      <c r="I20">
        <f t="shared" ca="1" si="3"/>
        <v>316</v>
      </c>
      <c r="J20">
        <f t="shared" ca="1" si="3"/>
        <v>351</v>
      </c>
      <c r="K20">
        <f t="shared" ca="1" si="3"/>
        <v>405</v>
      </c>
      <c r="L20">
        <f t="shared" ca="1" si="3"/>
        <v>429</v>
      </c>
      <c r="M20">
        <f t="shared" ca="1" si="3"/>
        <v>469</v>
      </c>
    </row>
    <row r="21" spans="1:13" x14ac:dyDescent="0.25">
      <c r="A21" t="s">
        <v>8</v>
      </c>
      <c r="B21">
        <f ca="1">B20+RANDBETWEEN(20,120)</f>
        <v>194</v>
      </c>
      <c r="C21">
        <f t="shared" ref="C21:M21" ca="1" si="4">C20+RANDBETWEEN(20,120)</f>
        <v>218</v>
      </c>
      <c r="D21">
        <f t="shared" ca="1" si="4"/>
        <v>190</v>
      </c>
      <c r="E21">
        <f t="shared" ca="1" si="4"/>
        <v>200</v>
      </c>
      <c r="F21">
        <f t="shared" ca="1" si="4"/>
        <v>300</v>
      </c>
      <c r="G21">
        <f t="shared" ca="1" si="4"/>
        <v>356</v>
      </c>
      <c r="H21">
        <f t="shared" ca="1" si="4"/>
        <v>369</v>
      </c>
      <c r="I21">
        <f t="shared" ca="1" si="4"/>
        <v>357</v>
      </c>
      <c r="J21">
        <f t="shared" ca="1" si="4"/>
        <v>465</v>
      </c>
      <c r="K21">
        <f t="shared" ca="1" si="4"/>
        <v>472</v>
      </c>
      <c r="L21">
        <f t="shared" ca="1" si="4"/>
        <v>539</v>
      </c>
      <c r="M21">
        <f t="shared" ca="1" si="4"/>
        <v>516</v>
      </c>
    </row>
    <row r="22" spans="1:13" x14ac:dyDescent="0.25">
      <c r="A22" t="s">
        <v>10</v>
      </c>
      <c r="B22">
        <f ca="1">B20-RANDBETWEEN(20,50)</f>
        <v>106</v>
      </c>
      <c r="C22">
        <f t="shared" ref="C22:M22" ca="1" si="5">C20-RANDBETWEEN(20,50)</f>
        <v>133</v>
      </c>
      <c r="D22">
        <f t="shared" ca="1" si="5"/>
        <v>107</v>
      </c>
      <c r="E22">
        <f t="shared" ca="1" si="5"/>
        <v>128</v>
      </c>
      <c r="F22">
        <f t="shared" ca="1" si="5"/>
        <v>176</v>
      </c>
      <c r="G22">
        <f t="shared" ca="1" si="5"/>
        <v>271</v>
      </c>
      <c r="H22">
        <f t="shared" ca="1" si="5"/>
        <v>289</v>
      </c>
      <c r="I22">
        <f t="shared" ca="1" si="5"/>
        <v>266</v>
      </c>
      <c r="J22">
        <f t="shared" ca="1" si="5"/>
        <v>325</v>
      </c>
      <c r="K22">
        <f t="shared" ca="1" si="5"/>
        <v>366</v>
      </c>
      <c r="L22">
        <f t="shared" ca="1" si="5"/>
        <v>386</v>
      </c>
      <c r="M22">
        <f t="shared" ca="1" si="5"/>
        <v>423</v>
      </c>
    </row>
    <row r="23" spans="1:13" x14ac:dyDescent="0.25">
      <c r="A23" t="s">
        <v>12</v>
      </c>
      <c r="B23">
        <f ca="1">RANDBETWEEN(B22,B21)</f>
        <v>162</v>
      </c>
      <c r="C23">
        <f t="shared" ref="C23:M23" ca="1" si="6">RANDBETWEEN(C22,C21)</f>
        <v>145</v>
      </c>
      <c r="D23">
        <f t="shared" ca="1" si="6"/>
        <v>156</v>
      </c>
      <c r="E23">
        <f t="shared" ca="1" si="6"/>
        <v>200</v>
      </c>
      <c r="F23">
        <f t="shared" ca="1" si="6"/>
        <v>292</v>
      </c>
      <c r="G23">
        <f t="shared" ca="1" si="6"/>
        <v>318</v>
      </c>
      <c r="H23">
        <f t="shared" ca="1" si="6"/>
        <v>316</v>
      </c>
      <c r="I23">
        <f t="shared" ca="1" si="6"/>
        <v>351</v>
      </c>
      <c r="J23">
        <f t="shared" ca="1" si="6"/>
        <v>405</v>
      </c>
      <c r="K23">
        <f t="shared" ca="1" si="6"/>
        <v>429</v>
      </c>
      <c r="L23">
        <f t="shared" ca="1" si="6"/>
        <v>469</v>
      </c>
      <c r="M23">
        <f t="shared" ca="1" si="6"/>
        <v>476</v>
      </c>
    </row>
    <row r="24" spans="1:13" x14ac:dyDescent="0.25">
      <c r="A24" t="s">
        <v>13</v>
      </c>
      <c r="B24">
        <f ca="1">RANDBETWEEN(120,150)</f>
        <v>124</v>
      </c>
      <c r="C24">
        <f t="shared" ref="C24:M24" ca="1" si="7">RANDBETWEEN(120,150)</f>
        <v>129</v>
      </c>
      <c r="D24">
        <f t="shared" ca="1" si="7"/>
        <v>124</v>
      </c>
      <c r="E24">
        <f t="shared" ca="1" si="7"/>
        <v>143</v>
      </c>
      <c r="F24">
        <f t="shared" ca="1" si="7"/>
        <v>124</v>
      </c>
      <c r="G24">
        <f t="shared" ca="1" si="7"/>
        <v>128</v>
      </c>
      <c r="H24">
        <f t="shared" ca="1" si="7"/>
        <v>146</v>
      </c>
      <c r="I24">
        <f t="shared" ca="1" si="7"/>
        <v>149</v>
      </c>
      <c r="J24">
        <f t="shared" ca="1" si="7"/>
        <v>122</v>
      </c>
      <c r="K24">
        <f t="shared" ca="1" si="7"/>
        <v>140</v>
      </c>
      <c r="L24">
        <f t="shared" ca="1" si="7"/>
        <v>131</v>
      </c>
      <c r="M24">
        <f t="shared" ca="1" si="7"/>
        <v>144</v>
      </c>
    </row>
  </sheetData>
  <mergeCells count="12">
    <mergeCell ref="B1:M1"/>
    <mergeCell ref="B9:M9"/>
    <mergeCell ref="B17:M17"/>
    <mergeCell ref="B18:E18"/>
    <mergeCell ref="F18:I18"/>
    <mergeCell ref="J18:M18"/>
    <mergeCell ref="B10:E10"/>
    <mergeCell ref="F10:I10"/>
    <mergeCell ref="J10:M10"/>
    <mergeCell ref="B2:E2"/>
    <mergeCell ref="F2:I2"/>
    <mergeCell ref="J2:M2"/>
  </mergeCells>
  <phoneticPr fontId="0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Data!B6:M6</xm:f>
              <xm:sqref>O6</xm:sqref>
            </x14:sparkline>
          </x14:sparklines>
        </x14:sparklineGroup>
        <x14:sparklineGroup type="column" displayEmptyCellsAs="gap" xr2:uid="{00000000-0003-0000-0000-000001000000}">
          <x14:colorSeries rgb="FFFFC00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Data!B5:M5</xm:f>
              <xm:sqref>O5</xm:sqref>
            </x14:sparkline>
          </x14:sparklines>
        </x14:sparklineGroup>
        <x14:sparklineGroup displayEmptyCellsAs="gap" xr2:uid="{00000000-0003-0000-00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Data!B4:M4</xm:f>
              <xm:sqref>O4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"/>
  <sheetViews>
    <sheetView tabSelected="1" view="pageLayout" zoomScaleNormal="100" workbookViewId="0">
      <selection activeCell="B13" sqref="B13:C13"/>
    </sheetView>
  </sheetViews>
  <sheetFormatPr defaultRowHeight="15" x14ac:dyDescent="0.25"/>
  <cols>
    <col min="1" max="1" width="2.7109375" customWidth="1"/>
    <col min="2" max="2" width="12.7109375" customWidth="1"/>
    <col min="3" max="3" width="10.140625" customWidth="1"/>
    <col min="4" max="4" width="11.5703125" customWidth="1"/>
    <col min="5" max="5" width="3.42578125" customWidth="1"/>
    <col min="6" max="6" width="5.28515625" customWidth="1"/>
    <col min="7" max="7" width="24.7109375" customWidth="1"/>
    <col min="8" max="8" width="20.140625" customWidth="1"/>
    <col min="9" max="9" width="5.28515625" customWidth="1"/>
    <col min="10" max="10" width="2.7109375" customWidth="1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15.75" x14ac:dyDescent="0.25">
      <c r="A2" s="2"/>
      <c r="B2" s="36" t="s">
        <v>15</v>
      </c>
      <c r="C2" s="36"/>
      <c r="D2" s="36"/>
      <c r="E2" s="2"/>
      <c r="F2" s="2"/>
      <c r="G2" s="2"/>
      <c r="H2" s="3"/>
      <c r="I2" s="3"/>
      <c r="J2" s="2"/>
    </row>
    <row r="3" spans="1:10" ht="36" customHeight="1" x14ac:dyDescent="0.4">
      <c r="A3" s="2"/>
      <c r="B3" s="37" t="s">
        <v>36</v>
      </c>
      <c r="C3" s="37"/>
      <c r="D3" s="37"/>
      <c r="E3" s="37"/>
      <c r="F3" s="37"/>
      <c r="G3" s="37"/>
      <c r="H3" s="4" t="s">
        <v>19</v>
      </c>
      <c r="I3" s="4"/>
      <c r="J3" s="2"/>
    </row>
    <row r="4" spans="1:10" ht="15.75" x14ac:dyDescent="0.25">
      <c r="A4" s="2" t="s">
        <v>16</v>
      </c>
      <c r="B4" s="5" t="s">
        <v>17</v>
      </c>
      <c r="C4" s="6">
        <v>1234</v>
      </c>
      <c r="D4" s="4" t="s">
        <v>18</v>
      </c>
      <c r="E4" s="7" t="s">
        <v>37</v>
      </c>
      <c r="F4" s="8"/>
      <c r="G4" s="8"/>
      <c r="H4" s="9">
        <v>43252</v>
      </c>
      <c r="I4" s="9"/>
      <c r="J4" s="2"/>
    </row>
    <row r="5" spans="1:10" ht="15.75" thickBot="1" x14ac:dyDescent="0.3">
      <c r="A5" s="10"/>
      <c r="B5" s="11"/>
      <c r="C5" s="11"/>
      <c r="D5" s="12"/>
      <c r="E5" s="11"/>
      <c r="F5" s="10"/>
      <c r="G5" s="10"/>
      <c r="H5" s="10"/>
      <c r="I5" s="10"/>
      <c r="J5" s="10"/>
    </row>
    <row r="6" spans="1:10" ht="21.75" customHeight="1" x14ac:dyDescent="0.25">
      <c r="A6" s="21"/>
      <c r="B6" s="38" t="s">
        <v>20</v>
      </c>
      <c r="C6" s="38"/>
      <c r="D6" s="22" t="s">
        <v>21</v>
      </c>
      <c r="E6" s="41" t="s">
        <v>22</v>
      </c>
      <c r="F6" s="41"/>
      <c r="G6" s="22" t="s">
        <v>23</v>
      </c>
      <c r="H6" s="21"/>
      <c r="I6" s="21"/>
      <c r="J6" s="21"/>
    </row>
    <row r="7" spans="1:10" ht="23.25" customHeight="1" x14ac:dyDescent="0.25">
      <c r="A7" s="21"/>
      <c r="B7" s="39" t="s">
        <v>24</v>
      </c>
      <c r="C7" s="39"/>
      <c r="D7" s="23" t="s">
        <v>14</v>
      </c>
      <c r="E7" s="40">
        <v>2018</v>
      </c>
      <c r="F7" s="40"/>
      <c r="G7" s="23" t="s">
        <v>35</v>
      </c>
      <c r="H7" s="21"/>
      <c r="I7" s="21"/>
      <c r="J7" s="21"/>
    </row>
    <row r="8" spans="1:10" ht="23.25" customHeight="1" thickBot="1" x14ac:dyDescent="0.3"/>
    <row r="9" spans="1:10" ht="15" customHeight="1" thickBot="1" x14ac:dyDescent="0.3">
      <c r="B9" s="33" t="s">
        <v>27</v>
      </c>
      <c r="C9" s="33"/>
      <c r="D9" s="17"/>
      <c r="G9" s="27" t="s">
        <v>25</v>
      </c>
      <c r="H9" s="29">
        <v>0.73</v>
      </c>
      <c r="I9" s="13"/>
    </row>
    <row r="10" spans="1:10" ht="15" customHeight="1" thickBot="1" x14ac:dyDescent="0.3">
      <c r="B10" s="34" t="s">
        <v>28</v>
      </c>
      <c r="C10" s="35"/>
      <c r="D10" s="20">
        <v>0.98</v>
      </c>
      <c r="G10" s="28"/>
      <c r="H10" s="30"/>
      <c r="I10" s="14"/>
    </row>
    <row r="11" spans="1:10" ht="15" customHeight="1" thickBot="1" x14ac:dyDescent="0.3">
      <c r="B11" s="26"/>
      <c r="C11" s="26"/>
      <c r="D11" s="16"/>
      <c r="I11" s="15"/>
    </row>
    <row r="12" spans="1:10" ht="15" customHeight="1" x14ac:dyDescent="0.25">
      <c r="B12" s="26"/>
      <c r="C12" s="26"/>
      <c r="D12" s="16"/>
      <c r="G12" s="27" t="s">
        <v>38</v>
      </c>
      <c r="H12" s="31" t="s">
        <v>26</v>
      </c>
      <c r="I12" s="13"/>
    </row>
    <row r="13" spans="1:10" ht="15" customHeight="1" thickBot="1" x14ac:dyDescent="0.3">
      <c r="B13" s="26"/>
      <c r="C13" s="26"/>
      <c r="D13" s="16"/>
      <c r="G13" s="28"/>
      <c r="H13" s="32"/>
      <c r="I13" s="14"/>
    </row>
    <row r="14" spans="1:10" ht="15.75" x14ac:dyDescent="0.25">
      <c r="B14" s="26"/>
      <c r="C14" s="26"/>
      <c r="D14" s="16"/>
    </row>
    <row r="15" spans="1:10" ht="15.75" x14ac:dyDescent="0.25">
      <c r="B15" s="26"/>
      <c r="C15" s="26"/>
      <c r="D15" s="16"/>
    </row>
    <row r="16" spans="1:10" ht="15.75" x14ac:dyDescent="0.25">
      <c r="B16" s="26"/>
      <c r="C16" s="26"/>
      <c r="D16" s="16"/>
      <c r="G16" s="18" t="s">
        <v>29</v>
      </c>
      <c r="H16" s="18"/>
    </row>
    <row r="17" spans="2:8" ht="15.75" x14ac:dyDescent="0.25">
      <c r="B17" s="26"/>
      <c r="C17" s="26"/>
      <c r="D17" s="16"/>
      <c r="G17" s="18" t="s">
        <v>30</v>
      </c>
      <c r="H17" s="19">
        <v>0.25</v>
      </c>
    </row>
    <row r="18" spans="2:8" ht="15.75" x14ac:dyDescent="0.25">
      <c r="B18" s="26"/>
      <c r="C18" s="26"/>
      <c r="D18" s="16"/>
      <c r="G18" s="18" t="s">
        <v>27</v>
      </c>
      <c r="H18" s="19">
        <v>0.32</v>
      </c>
    </row>
    <row r="19" spans="2:8" ht="15.75" x14ac:dyDescent="0.25">
      <c r="B19" s="26"/>
      <c r="C19" s="26"/>
      <c r="D19" s="16"/>
      <c r="G19" s="18" t="s">
        <v>31</v>
      </c>
      <c r="H19" s="19">
        <v>0.56000000000000005</v>
      </c>
    </row>
    <row r="20" spans="2:8" ht="15.75" x14ac:dyDescent="0.25">
      <c r="B20" s="26"/>
      <c r="C20" s="26"/>
      <c r="D20" s="16"/>
      <c r="G20" s="18" t="s">
        <v>32</v>
      </c>
      <c r="H20" s="19">
        <v>0.91</v>
      </c>
    </row>
    <row r="21" spans="2:8" ht="15.75" x14ac:dyDescent="0.25">
      <c r="B21" s="26"/>
      <c r="C21" s="26"/>
      <c r="D21" s="16"/>
      <c r="G21" s="18" t="s">
        <v>33</v>
      </c>
      <c r="H21" s="19">
        <v>0</v>
      </c>
    </row>
    <row r="22" spans="2:8" ht="15.75" x14ac:dyDescent="0.25">
      <c r="B22" s="26"/>
      <c r="C22" s="26"/>
      <c r="D22" s="16"/>
      <c r="G22" s="18" t="s">
        <v>34</v>
      </c>
      <c r="H22" s="19">
        <v>0.4</v>
      </c>
    </row>
    <row r="23" spans="2:8" ht="15.75" x14ac:dyDescent="0.25">
      <c r="B23" s="26"/>
      <c r="C23" s="26"/>
      <c r="D23" s="16"/>
    </row>
    <row r="24" spans="2:8" ht="15.75" x14ac:dyDescent="0.25">
      <c r="B24" s="26"/>
      <c r="C24" s="26"/>
      <c r="D24" s="16"/>
    </row>
    <row r="25" spans="2:8" ht="15.75" x14ac:dyDescent="0.25">
      <c r="B25" s="26"/>
      <c r="C25" s="26"/>
      <c r="D25" s="16"/>
    </row>
    <row r="26" spans="2:8" ht="15.75" x14ac:dyDescent="0.25">
      <c r="B26" s="26"/>
      <c r="C26" s="26"/>
      <c r="D26" s="16"/>
    </row>
    <row r="27" spans="2:8" ht="15.75" x14ac:dyDescent="0.25">
      <c r="B27" s="26"/>
      <c r="C27" s="26"/>
      <c r="D27" s="16"/>
    </row>
    <row r="28" spans="2:8" ht="15.75" x14ac:dyDescent="0.25">
      <c r="B28" s="26"/>
      <c r="C28" s="26"/>
      <c r="D28" s="16"/>
    </row>
    <row r="29" spans="2:8" ht="15.75" x14ac:dyDescent="0.25">
      <c r="B29" s="26"/>
      <c r="C29" s="26"/>
      <c r="D29" s="16"/>
    </row>
    <row r="30" spans="2:8" ht="15.75" x14ac:dyDescent="0.25">
      <c r="B30" s="26"/>
      <c r="C30" s="26"/>
      <c r="D30" s="16"/>
    </row>
    <row r="31" spans="2:8" ht="15.75" x14ac:dyDescent="0.25">
      <c r="B31" s="26"/>
      <c r="C31" s="26"/>
      <c r="D31" s="16"/>
    </row>
    <row r="32" spans="2:8" ht="15.75" x14ac:dyDescent="0.25">
      <c r="B32" s="26"/>
      <c r="C32" s="26"/>
      <c r="D32" s="16"/>
    </row>
    <row r="33" spans="2:4" ht="15.75" x14ac:dyDescent="0.25">
      <c r="B33" s="26"/>
      <c r="C33" s="26"/>
      <c r="D33" s="16"/>
    </row>
    <row r="34" spans="2:4" ht="15.75" x14ac:dyDescent="0.25">
      <c r="B34" s="26"/>
      <c r="C34" s="26"/>
      <c r="D34" s="16"/>
    </row>
    <row r="35" spans="2:4" ht="15.75" x14ac:dyDescent="0.25">
      <c r="B35" s="26"/>
      <c r="C35" s="26"/>
      <c r="D35" s="16"/>
    </row>
    <row r="36" spans="2:4" ht="15.75" x14ac:dyDescent="0.25">
      <c r="B36" s="26"/>
      <c r="C36" s="26"/>
      <c r="D36" s="16"/>
    </row>
    <row r="37" spans="2:4" ht="15.75" x14ac:dyDescent="0.25">
      <c r="B37" s="26"/>
      <c r="C37" s="26"/>
      <c r="D37" s="16"/>
    </row>
    <row r="38" spans="2:4" ht="15.75" x14ac:dyDescent="0.25">
      <c r="B38" s="26"/>
      <c r="C38" s="26"/>
      <c r="D38" s="16"/>
    </row>
    <row r="39" spans="2:4" ht="15.75" x14ac:dyDescent="0.25">
      <c r="B39" s="26"/>
      <c r="C39" s="26"/>
      <c r="D39" s="16"/>
    </row>
    <row r="40" spans="2:4" ht="15.75" x14ac:dyDescent="0.25">
      <c r="B40" s="26"/>
      <c r="C40" s="26"/>
      <c r="D40" s="16"/>
    </row>
    <row r="41" spans="2:4" ht="15.75" x14ac:dyDescent="0.25">
      <c r="B41" s="26"/>
      <c r="C41" s="26"/>
      <c r="D41" s="16"/>
    </row>
    <row r="42" spans="2:4" ht="15.75" x14ac:dyDescent="0.25">
      <c r="B42" s="26"/>
      <c r="C42" s="26"/>
      <c r="D42" s="16"/>
    </row>
    <row r="43" spans="2:4" ht="15.75" x14ac:dyDescent="0.25">
      <c r="B43" s="26"/>
      <c r="C43" s="26"/>
      <c r="D43" s="16"/>
    </row>
    <row r="44" spans="2:4" ht="15.75" x14ac:dyDescent="0.25">
      <c r="B44" s="26"/>
      <c r="C44" s="26"/>
      <c r="D44" s="16"/>
    </row>
    <row r="45" spans="2:4" ht="15.75" x14ac:dyDescent="0.25">
      <c r="B45" s="26"/>
      <c r="C45" s="26"/>
      <c r="D45" s="16"/>
    </row>
    <row r="46" spans="2:4" ht="15.75" x14ac:dyDescent="0.25">
      <c r="B46" s="26"/>
      <c r="C46" s="26"/>
      <c r="D46" s="16"/>
    </row>
    <row r="47" spans="2:4" ht="15.75" x14ac:dyDescent="0.25">
      <c r="B47" s="26"/>
      <c r="C47" s="26"/>
      <c r="D47" s="16"/>
    </row>
    <row r="48" spans="2:4" ht="15.75" x14ac:dyDescent="0.25">
      <c r="B48" s="26"/>
      <c r="C48" s="26"/>
      <c r="D48" s="16"/>
    </row>
    <row r="49" spans="2:4" ht="15.75" x14ac:dyDescent="0.25">
      <c r="B49" s="26"/>
      <c r="C49" s="26"/>
      <c r="D49" s="16"/>
    </row>
    <row r="50" spans="2:4" ht="15.75" x14ac:dyDescent="0.25">
      <c r="B50" s="26"/>
      <c r="C50" s="26"/>
      <c r="D50" s="16"/>
    </row>
    <row r="51" spans="2:4" ht="15.75" x14ac:dyDescent="0.25">
      <c r="B51" s="26"/>
      <c r="C51" s="26"/>
      <c r="D51" s="16"/>
    </row>
    <row r="52" spans="2:4" ht="15.75" x14ac:dyDescent="0.25">
      <c r="B52" s="26"/>
      <c r="C52" s="26"/>
      <c r="D52" s="16"/>
    </row>
    <row r="53" spans="2:4" ht="15.75" x14ac:dyDescent="0.25">
      <c r="B53" s="26"/>
      <c r="C53" s="26"/>
      <c r="D53" s="16"/>
    </row>
    <row r="54" spans="2:4" ht="15.75" x14ac:dyDescent="0.25">
      <c r="B54" s="26"/>
      <c r="C54" s="26"/>
      <c r="D54" s="16"/>
    </row>
    <row r="55" spans="2:4" ht="15.75" x14ac:dyDescent="0.25">
      <c r="B55" s="26"/>
      <c r="C55" s="26"/>
      <c r="D55" s="16"/>
    </row>
    <row r="56" spans="2:4" ht="15.75" x14ac:dyDescent="0.25">
      <c r="B56" s="26"/>
      <c r="C56" s="26"/>
      <c r="D56" s="16"/>
    </row>
    <row r="57" spans="2:4" ht="15.75" x14ac:dyDescent="0.25">
      <c r="B57" s="26"/>
      <c r="C57" s="26"/>
      <c r="D57" s="16"/>
    </row>
    <row r="58" spans="2:4" ht="15.75" x14ac:dyDescent="0.25">
      <c r="B58" s="26"/>
      <c r="C58" s="26"/>
      <c r="D58" s="16"/>
    </row>
    <row r="59" spans="2:4" ht="15.75" x14ac:dyDescent="0.25">
      <c r="B59" s="26"/>
      <c r="C59" s="26"/>
      <c r="D59" s="16"/>
    </row>
    <row r="60" spans="2:4" ht="15.75" x14ac:dyDescent="0.25">
      <c r="B60" s="26"/>
      <c r="C60" s="26"/>
      <c r="D60" s="16"/>
    </row>
    <row r="61" spans="2:4" ht="15.75" x14ac:dyDescent="0.25">
      <c r="B61" s="26"/>
      <c r="C61" s="26"/>
      <c r="D61" s="16"/>
    </row>
    <row r="62" spans="2:4" ht="15.75" x14ac:dyDescent="0.25">
      <c r="B62" s="26"/>
      <c r="C62" s="26"/>
      <c r="D62" s="16"/>
    </row>
    <row r="63" spans="2:4" ht="15.75" x14ac:dyDescent="0.25">
      <c r="B63" s="26"/>
      <c r="C63" s="26"/>
      <c r="D63" s="16"/>
    </row>
    <row r="64" spans="2:4" ht="15.75" x14ac:dyDescent="0.25">
      <c r="B64" s="26"/>
      <c r="C64" s="26"/>
      <c r="D64" s="16"/>
    </row>
    <row r="65" spans="2:4" ht="15.75" x14ac:dyDescent="0.25">
      <c r="B65" s="26"/>
      <c r="C65" s="26"/>
      <c r="D65" s="16"/>
    </row>
    <row r="66" spans="2:4" ht="15.75" x14ac:dyDescent="0.25">
      <c r="B66" s="26"/>
      <c r="C66" s="26"/>
      <c r="D66" s="16"/>
    </row>
    <row r="67" spans="2:4" ht="15.75" x14ac:dyDescent="0.25">
      <c r="B67" s="26"/>
      <c r="C67" s="26"/>
      <c r="D67" s="16"/>
    </row>
    <row r="68" spans="2:4" ht="15.75" x14ac:dyDescent="0.25">
      <c r="B68" s="26"/>
      <c r="C68" s="26"/>
      <c r="D68" s="16"/>
    </row>
  </sheetData>
  <mergeCells count="70">
    <mergeCell ref="B2:D2"/>
    <mergeCell ref="B3:G3"/>
    <mergeCell ref="B6:C6"/>
    <mergeCell ref="B7:C7"/>
    <mergeCell ref="E7:F7"/>
    <mergeCell ref="E6:F6"/>
    <mergeCell ref="B15:C15"/>
    <mergeCell ref="G9:G10"/>
    <mergeCell ref="H9:H10"/>
    <mergeCell ref="G12:G13"/>
    <mergeCell ref="H12:H13"/>
    <mergeCell ref="B9:C9"/>
    <mergeCell ref="B10:C10"/>
    <mergeCell ref="B11:C11"/>
    <mergeCell ref="B12:C12"/>
    <mergeCell ref="B13:C13"/>
    <mergeCell ref="B14:C14"/>
    <mergeCell ref="B27:C27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39:C39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51:C51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63:C63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4:C64"/>
    <mergeCell ref="B65:C65"/>
    <mergeCell ref="B66:C66"/>
    <mergeCell ref="B67:C67"/>
    <mergeCell ref="B68:C68"/>
  </mergeCells>
  <phoneticPr fontId="0" type="noConversion"/>
  <printOptions horizontalCentered="1" verticalCentered="1"/>
  <pageMargins left="0.23622047244094491" right="0.23622047244094491" top="0.23622047244094491" bottom="0.23622047244094491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Baker</dc:creator>
  <cp:lastModifiedBy>Shahim Mohammed</cp:lastModifiedBy>
  <cp:lastPrinted>2018-08-30T11:01:50Z</cp:lastPrinted>
  <dcterms:created xsi:type="dcterms:W3CDTF">2010-02-10T21:47:19Z</dcterms:created>
  <dcterms:modified xsi:type="dcterms:W3CDTF">2018-09-05T14:00:40Z</dcterms:modified>
</cp:coreProperties>
</file>